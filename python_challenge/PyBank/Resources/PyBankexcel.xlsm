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BOOTCAMP\PRACTICE\Python\python_challenge\PyBank\Resources\"/>
    </mc:Choice>
  </mc:AlternateContent>
  <xr:revisionPtr revIDLastSave="0" documentId="13_ncr:1_{1FAC9495-CED0-45AB-BAA2-DB3734C9AC6E}" xr6:coauthVersionLast="47" xr6:coauthVersionMax="47" xr10:uidLastSave="{00000000-0000-0000-0000-000000000000}"/>
  <bookViews>
    <workbookView xWindow="-120" yWindow="-120" windowWidth="29040" windowHeight="15840" xr2:uid="{3BCBDCFD-5C30-45D7-A3AF-28A4ED013D0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H8" i="1"/>
  <c r="H6" i="1"/>
  <c r="H12" i="1"/>
  <c r="H10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3" i="1"/>
  <c r="H4" i="1"/>
</calcChain>
</file>

<file path=xl/sharedStrings.xml><?xml version="1.0" encoding="utf-8"?>
<sst xmlns="http://schemas.openxmlformats.org/spreadsheetml/2006/main" count="59" uniqueCount="41">
  <si>
    <t>* Your task is to create a Python script that analyzes the records to calculate each of the following:</t>
  </si>
  <si>
    <t xml:space="preserve">  * The total number of months included in the dataset</t>
  </si>
  <si>
    <t xml:space="preserve">  * The net total amount of "Profit/Losses" over the entire period</t>
  </si>
  <si>
    <t xml:space="preserve">  * Calculate the changes in "Profit/Losses" over the entire period, then find the average of those changes</t>
  </si>
  <si>
    <t xml:space="preserve">  * The greatest increase in profits (date and amount) over the entire period</t>
  </si>
  <si>
    <t xml:space="preserve">  * The greatest decrease in profits (date and amount) over the entire period</t>
  </si>
  <si>
    <t>* As an example, your analysis should look similar to the one below:</t>
  </si>
  <si>
    <t xml:space="preserve">  ```text</t>
  </si>
  <si>
    <t xml:space="preserve">  Financial Analysis</t>
  </si>
  <si>
    <t xml:space="preserve">  ----------------------------</t>
  </si>
  <si>
    <t xml:space="preserve">  Total Months: 86</t>
  </si>
  <si>
    <t xml:space="preserve">  Total: $38382578</t>
  </si>
  <si>
    <t xml:space="preserve">  Average  Change: $-2315.12</t>
  </si>
  <si>
    <t xml:space="preserve">  Greatest Increase in Profits: Feb-2012 ($1926159)</t>
  </si>
  <si>
    <t xml:space="preserve">  Greatest Decrease in Profits: Sep-2013 ($-2196167)</t>
  </si>
  <si>
    <t xml:space="preserve">  ```</t>
  </si>
  <si>
    <t>Date</t>
  </si>
  <si>
    <t>Profit/Losses</t>
  </si>
  <si>
    <t>SUM Rows B2 to B87</t>
  </si>
  <si>
    <t>IN Column C DEDUCT B3 from B2, Fill Down to B87</t>
  </si>
  <si>
    <t>AVERAGE of C2 to C87</t>
  </si>
  <si>
    <t>MAX of C2 to C87</t>
  </si>
  <si>
    <t>MIN of C2 to C87</t>
  </si>
  <si>
    <t>COUNT Rows A2 to A87</t>
  </si>
  <si>
    <t>Format to USD with no decimal places</t>
  </si>
  <si>
    <t>Format to number with no decimal places</t>
  </si>
  <si>
    <t>Variables</t>
  </si>
  <si>
    <t>Months</t>
  </si>
  <si>
    <t>Profit/Loss</t>
  </si>
  <si>
    <t>Start with this cell selected</t>
  </si>
  <si>
    <t>Change</t>
  </si>
  <si>
    <t>Total_Months</t>
  </si>
  <si>
    <t>i</t>
  </si>
  <si>
    <t>rowcounter</t>
  </si>
  <si>
    <t>Average_Change</t>
  </si>
  <si>
    <t>Greatest_Increase</t>
  </si>
  <si>
    <t>Greatest_Decrease</t>
  </si>
  <si>
    <t>String</t>
  </si>
  <si>
    <t>Double</t>
  </si>
  <si>
    <r>
      <t xml:space="preserve">  Greatest Increase in Profits: </t>
    </r>
    <r>
      <rPr>
        <sz val="11"/>
        <color rgb="FFFF0000"/>
        <rFont val="Calibri"/>
        <family val="2"/>
        <scheme val="minor"/>
      </rPr>
      <t>Feb-2012</t>
    </r>
    <r>
      <rPr>
        <sz val="11"/>
        <color theme="1"/>
        <rFont val="Calibri"/>
        <family val="2"/>
        <scheme val="minor"/>
      </rPr>
      <t xml:space="preserve"> ($1926159)</t>
    </r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</si>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</sst>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64" fontId="0" fillId="0" borderId="0" xfId="0" applyNumberFormat="1"/>
    <xf numFmtId="1" fontId="0" fillId="2" borderId="0" xfId="0" applyNumberForma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B56CA-F7A8-4010-93E5-D15D23B8ACBE}">
  <sheetPr codeName="Sheet1"/>
  <dimension ref="A1:N87"/>
  <sheetViews>
    <sheetView tabSelected="1" topLeftCell="B1" workbookViewId="0">
      <selection activeCell="L18" sqref="L18"/>
    </sheetView>
  </sheetViews>
  <sheetFormatPr defaultRowHeight="15" x14ac:dyDescent="0.25"/>
  <cols>
    <col min="1" max="1" width="17.5703125" style="1" customWidth="1"/>
    <col min="2" max="2" width="16.5703125" style="2" customWidth="1"/>
    <col min="7" max="7" width="51.42578125" customWidth="1"/>
    <col min="8" max="8" width="25.28515625" customWidth="1"/>
    <col min="10" max="10" width="46.42578125" customWidth="1"/>
    <col min="11" max="11" width="25.5703125" customWidth="1"/>
    <col min="12" max="12" width="40.42578125" customWidth="1"/>
  </cols>
  <sheetData>
    <row r="1" spans="1:14" x14ac:dyDescent="0.25">
      <c r="A1" s="1" t="s">
        <v>16</v>
      </c>
      <c r="B1" s="2" t="s">
        <v>17</v>
      </c>
      <c r="C1" t="s">
        <v>30</v>
      </c>
    </row>
    <row r="2" spans="1:14" x14ac:dyDescent="0.25">
      <c r="A2" s="1">
        <v>40179</v>
      </c>
      <c r="B2" s="2">
        <v>867884</v>
      </c>
      <c r="N2" t="s">
        <v>0</v>
      </c>
    </row>
    <row r="3" spans="1:14" x14ac:dyDescent="0.25">
      <c r="A3" s="1">
        <v>40210</v>
      </c>
      <c r="B3" s="2">
        <v>984655</v>
      </c>
      <c r="C3">
        <f>B3-B2</f>
        <v>116771</v>
      </c>
      <c r="H3" t="s">
        <v>29</v>
      </c>
    </row>
    <row r="4" spans="1:14" x14ac:dyDescent="0.25">
      <c r="A4" s="1">
        <v>40238</v>
      </c>
      <c r="B4" s="2">
        <v>322013</v>
      </c>
      <c r="C4">
        <f>B4-B3</f>
        <v>-662642</v>
      </c>
      <c r="G4" t="s">
        <v>10</v>
      </c>
      <c r="H4" s="5">
        <f>COUNT(A2:A87)</f>
        <v>86</v>
      </c>
      <c r="K4" t="s">
        <v>23</v>
      </c>
      <c r="N4" t="s">
        <v>1</v>
      </c>
    </row>
    <row r="5" spans="1:14" x14ac:dyDescent="0.25">
      <c r="A5" s="1">
        <v>40269</v>
      </c>
      <c r="B5" s="2">
        <v>-69417</v>
      </c>
      <c r="C5">
        <f t="shared" ref="C4:C67" si="0">B5-B4</f>
        <v>-391430</v>
      </c>
    </row>
    <row r="6" spans="1:14" x14ac:dyDescent="0.25">
      <c r="A6" s="1">
        <v>40299</v>
      </c>
      <c r="B6" s="2">
        <v>310503</v>
      </c>
      <c r="C6">
        <f t="shared" si="0"/>
        <v>379920</v>
      </c>
      <c r="G6" t="s">
        <v>11</v>
      </c>
      <c r="H6" s="4">
        <f>SUM(B2:B87)</f>
        <v>38382578</v>
      </c>
      <c r="K6" t="s">
        <v>18</v>
      </c>
      <c r="N6" t="s">
        <v>2</v>
      </c>
    </row>
    <row r="7" spans="1:14" x14ac:dyDescent="0.25">
      <c r="A7" s="1">
        <v>40330</v>
      </c>
      <c r="B7" s="2">
        <v>522857</v>
      </c>
      <c r="C7">
        <f t="shared" si="0"/>
        <v>212354</v>
      </c>
    </row>
    <row r="8" spans="1:14" x14ac:dyDescent="0.25">
      <c r="A8" s="1">
        <v>40360</v>
      </c>
      <c r="B8" s="2">
        <v>1033096</v>
      </c>
      <c r="C8">
        <f t="shared" si="0"/>
        <v>510239</v>
      </c>
      <c r="G8" t="s">
        <v>12</v>
      </c>
      <c r="H8" s="4">
        <f>AVERAGE(C3:C87)</f>
        <v>-2315.1176470588234</v>
      </c>
      <c r="J8" t="s">
        <v>19</v>
      </c>
      <c r="K8" t="s">
        <v>20</v>
      </c>
      <c r="N8" t="s">
        <v>3</v>
      </c>
    </row>
    <row r="9" spans="1:14" x14ac:dyDescent="0.25">
      <c r="A9" s="1">
        <v>40391</v>
      </c>
      <c r="B9" s="2">
        <v>604885</v>
      </c>
      <c r="C9">
        <f t="shared" si="0"/>
        <v>-428211</v>
      </c>
    </row>
    <row r="10" spans="1:14" x14ac:dyDescent="0.25">
      <c r="A10" s="1">
        <v>40422</v>
      </c>
      <c r="B10" s="2">
        <v>-216386</v>
      </c>
      <c r="C10">
        <f t="shared" si="0"/>
        <v>-821271</v>
      </c>
      <c r="G10" t="s">
        <v>39</v>
      </c>
      <c r="H10" s="4">
        <f>MAX(C3:C87)</f>
        <v>1926159</v>
      </c>
      <c r="K10" t="s">
        <v>21</v>
      </c>
      <c r="N10" t="s">
        <v>4</v>
      </c>
    </row>
    <row r="11" spans="1:14" x14ac:dyDescent="0.25">
      <c r="A11" s="1">
        <v>40452</v>
      </c>
      <c r="B11" s="2">
        <v>477532</v>
      </c>
      <c r="C11">
        <f t="shared" si="0"/>
        <v>693918</v>
      </c>
    </row>
    <row r="12" spans="1:14" x14ac:dyDescent="0.25">
      <c r="A12" s="1">
        <v>40483</v>
      </c>
      <c r="B12" s="2">
        <v>893810</v>
      </c>
      <c r="C12">
        <f t="shared" si="0"/>
        <v>416278</v>
      </c>
      <c r="G12" t="s">
        <v>14</v>
      </c>
      <c r="H12" s="4">
        <f>MIN(C3:C87)</f>
        <v>-2196167</v>
      </c>
      <c r="K12" t="s">
        <v>22</v>
      </c>
      <c r="N12" t="s">
        <v>5</v>
      </c>
    </row>
    <row r="13" spans="1:14" x14ac:dyDescent="0.25">
      <c r="A13" s="1">
        <v>40513</v>
      </c>
      <c r="B13" s="2">
        <v>-80353</v>
      </c>
      <c r="C13">
        <f t="shared" si="0"/>
        <v>-974163</v>
      </c>
    </row>
    <row r="14" spans="1:14" x14ac:dyDescent="0.25">
      <c r="A14" s="1">
        <v>40544</v>
      </c>
      <c r="B14" s="2">
        <v>779806</v>
      </c>
      <c r="C14">
        <f t="shared" si="0"/>
        <v>860159</v>
      </c>
      <c r="H14" s="4"/>
      <c r="N14" t="s">
        <v>6</v>
      </c>
    </row>
    <row r="15" spans="1:14" x14ac:dyDescent="0.25">
      <c r="A15" s="1">
        <v>40575</v>
      </c>
      <c r="B15" s="2">
        <v>-335203</v>
      </c>
      <c r="C15">
        <f t="shared" si="0"/>
        <v>-1115009</v>
      </c>
    </row>
    <row r="16" spans="1:14" x14ac:dyDescent="0.25">
      <c r="A16" s="1">
        <v>40603</v>
      </c>
      <c r="B16" s="2">
        <v>697845</v>
      </c>
      <c r="C16">
        <f t="shared" si="0"/>
        <v>1033048</v>
      </c>
      <c r="H16" s="4"/>
      <c r="J16" s="6" t="s">
        <v>26</v>
      </c>
      <c r="N16" t="s">
        <v>7</v>
      </c>
    </row>
    <row r="17" spans="1:14" x14ac:dyDescent="0.25">
      <c r="A17" s="1">
        <v>40634</v>
      </c>
      <c r="B17" s="2">
        <v>793163</v>
      </c>
      <c r="C17">
        <f t="shared" si="0"/>
        <v>95318</v>
      </c>
      <c r="J17" t="s">
        <v>27</v>
      </c>
      <c r="K17" t="s">
        <v>37</v>
      </c>
      <c r="L17" t="s">
        <v>40</v>
      </c>
      <c r="N17" t="s">
        <v>8</v>
      </c>
    </row>
    <row r="18" spans="1:14" x14ac:dyDescent="0.25">
      <c r="A18" s="1">
        <v>40664</v>
      </c>
      <c r="B18" s="2">
        <v>485070</v>
      </c>
      <c r="C18">
        <f t="shared" si="0"/>
        <v>-308093</v>
      </c>
      <c r="H18" s="4"/>
      <c r="J18" t="s">
        <v>31</v>
      </c>
      <c r="K18" t="s">
        <v>38</v>
      </c>
      <c r="L18" t="s">
        <v>25</v>
      </c>
      <c r="N18" t="s">
        <v>9</v>
      </c>
    </row>
    <row r="19" spans="1:14" x14ac:dyDescent="0.25">
      <c r="A19" s="1">
        <v>40695</v>
      </c>
      <c r="B19" s="2">
        <v>584122</v>
      </c>
      <c r="C19">
        <f t="shared" si="0"/>
        <v>99052</v>
      </c>
      <c r="J19" t="s">
        <v>28</v>
      </c>
      <c r="K19" t="s">
        <v>38</v>
      </c>
      <c r="L19" t="s">
        <v>24</v>
      </c>
      <c r="N19" t="s">
        <v>10</v>
      </c>
    </row>
    <row r="20" spans="1:14" x14ac:dyDescent="0.25">
      <c r="A20" s="1">
        <v>40725</v>
      </c>
      <c r="B20" s="2">
        <v>62729</v>
      </c>
      <c r="C20">
        <f t="shared" si="0"/>
        <v>-521393</v>
      </c>
      <c r="H20" s="3"/>
      <c r="J20" t="s">
        <v>30</v>
      </c>
      <c r="K20" t="s">
        <v>38</v>
      </c>
      <c r="L20" t="s">
        <v>24</v>
      </c>
      <c r="N20" t="s">
        <v>11</v>
      </c>
    </row>
    <row r="21" spans="1:14" x14ac:dyDescent="0.25">
      <c r="A21" s="1">
        <v>40756</v>
      </c>
      <c r="B21" s="2">
        <v>668179</v>
      </c>
      <c r="C21">
        <f t="shared" si="0"/>
        <v>605450</v>
      </c>
      <c r="J21" t="s">
        <v>32</v>
      </c>
      <c r="K21" t="s">
        <v>38</v>
      </c>
      <c r="L21" t="s">
        <v>25</v>
      </c>
      <c r="N21" t="s">
        <v>12</v>
      </c>
    </row>
    <row r="22" spans="1:14" x14ac:dyDescent="0.25">
      <c r="A22" s="1">
        <v>40787</v>
      </c>
      <c r="B22" s="2">
        <v>899906</v>
      </c>
      <c r="C22">
        <f t="shared" si="0"/>
        <v>231727</v>
      </c>
      <c r="H22" s="4"/>
      <c r="J22" t="s">
        <v>33</v>
      </c>
      <c r="K22" t="s">
        <v>38</v>
      </c>
      <c r="L22" t="s">
        <v>25</v>
      </c>
      <c r="N22" t="s">
        <v>13</v>
      </c>
    </row>
    <row r="23" spans="1:14" x14ac:dyDescent="0.25">
      <c r="A23" s="1">
        <v>40817</v>
      </c>
      <c r="B23" s="2">
        <v>834719</v>
      </c>
      <c r="C23">
        <f t="shared" si="0"/>
        <v>-65187</v>
      </c>
      <c r="J23" t="s">
        <v>34</v>
      </c>
      <c r="K23" t="s">
        <v>38</v>
      </c>
      <c r="L23" t="s">
        <v>24</v>
      </c>
      <c r="N23" t="s">
        <v>14</v>
      </c>
    </row>
    <row r="24" spans="1:14" x14ac:dyDescent="0.25">
      <c r="A24" s="1">
        <v>40848</v>
      </c>
      <c r="B24" s="2">
        <v>132003</v>
      </c>
      <c r="C24">
        <f t="shared" si="0"/>
        <v>-702716</v>
      </c>
      <c r="H24" s="4"/>
      <c r="J24" t="s">
        <v>35</v>
      </c>
      <c r="K24" t="s">
        <v>38</v>
      </c>
      <c r="L24" t="s">
        <v>24</v>
      </c>
      <c r="N24" t="s">
        <v>15</v>
      </c>
    </row>
    <row r="25" spans="1:14" x14ac:dyDescent="0.25">
      <c r="A25" s="1">
        <v>40878</v>
      </c>
      <c r="B25" s="2">
        <v>309978</v>
      </c>
      <c r="C25">
        <f t="shared" si="0"/>
        <v>177975</v>
      </c>
      <c r="J25" t="s">
        <v>36</v>
      </c>
      <c r="K25" t="s">
        <v>38</v>
      </c>
      <c r="L25" t="s">
        <v>24</v>
      </c>
    </row>
    <row r="26" spans="1:14" x14ac:dyDescent="0.25">
      <c r="A26" s="1">
        <v>40909</v>
      </c>
      <c r="B26" s="2">
        <v>-755566</v>
      </c>
      <c r="C26">
        <f t="shared" si="0"/>
        <v>-1065544</v>
      </c>
      <c r="H26" s="4"/>
    </row>
    <row r="27" spans="1:14" x14ac:dyDescent="0.25">
      <c r="A27" s="1">
        <v>40940</v>
      </c>
      <c r="B27" s="2">
        <v>1170593</v>
      </c>
      <c r="C27">
        <f t="shared" si="0"/>
        <v>1926159</v>
      </c>
    </row>
    <row r="28" spans="1:14" x14ac:dyDescent="0.25">
      <c r="A28" s="1">
        <v>40969</v>
      </c>
      <c r="B28" s="2">
        <v>252788</v>
      </c>
      <c r="C28">
        <f t="shared" si="0"/>
        <v>-917805</v>
      </c>
      <c r="H28" s="3"/>
    </row>
    <row r="29" spans="1:14" x14ac:dyDescent="0.25">
      <c r="A29" s="1">
        <v>41000</v>
      </c>
      <c r="B29" s="2">
        <v>1151518</v>
      </c>
      <c r="C29">
        <f t="shared" si="0"/>
        <v>898730</v>
      </c>
    </row>
    <row r="30" spans="1:14" x14ac:dyDescent="0.25">
      <c r="A30" s="1">
        <v>41030</v>
      </c>
      <c r="B30" s="2">
        <v>817256</v>
      </c>
      <c r="C30">
        <f t="shared" si="0"/>
        <v>-334262</v>
      </c>
      <c r="H30" s="4"/>
    </row>
    <row r="31" spans="1:14" x14ac:dyDescent="0.25">
      <c r="A31" s="1">
        <v>41061</v>
      </c>
      <c r="B31" s="2">
        <v>570757</v>
      </c>
      <c r="C31">
        <f t="shared" si="0"/>
        <v>-246499</v>
      </c>
    </row>
    <row r="32" spans="1:14" x14ac:dyDescent="0.25">
      <c r="A32" s="1">
        <v>41091</v>
      </c>
      <c r="B32" s="2">
        <v>506702</v>
      </c>
      <c r="C32">
        <f t="shared" si="0"/>
        <v>-64055</v>
      </c>
      <c r="H32" s="4"/>
    </row>
    <row r="33" spans="1:8" x14ac:dyDescent="0.25">
      <c r="A33" s="1">
        <v>41122</v>
      </c>
      <c r="B33" s="2">
        <v>-1022534</v>
      </c>
      <c r="C33">
        <f t="shared" si="0"/>
        <v>-1529236</v>
      </c>
    </row>
    <row r="34" spans="1:8" x14ac:dyDescent="0.25">
      <c r="A34" s="1">
        <v>41153</v>
      </c>
      <c r="B34" s="2">
        <v>475062</v>
      </c>
      <c r="C34">
        <f t="shared" si="0"/>
        <v>1497596</v>
      </c>
      <c r="H34" s="4"/>
    </row>
    <row r="35" spans="1:8" x14ac:dyDescent="0.25">
      <c r="A35" s="1">
        <v>41183</v>
      </c>
      <c r="B35" s="2">
        <v>779976</v>
      </c>
      <c r="C35">
        <f t="shared" si="0"/>
        <v>304914</v>
      </c>
    </row>
    <row r="36" spans="1:8" x14ac:dyDescent="0.25">
      <c r="A36" s="1">
        <v>41214</v>
      </c>
      <c r="B36" s="2">
        <v>144175</v>
      </c>
      <c r="C36">
        <f t="shared" si="0"/>
        <v>-635801</v>
      </c>
      <c r="H36" s="3"/>
    </row>
    <row r="37" spans="1:8" x14ac:dyDescent="0.25">
      <c r="A37" s="1">
        <v>41244</v>
      </c>
      <c r="B37" s="2">
        <v>542494</v>
      </c>
      <c r="C37">
        <f t="shared" si="0"/>
        <v>398319</v>
      </c>
    </row>
    <row r="38" spans="1:8" x14ac:dyDescent="0.25">
      <c r="A38" s="1">
        <v>41275</v>
      </c>
      <c r="B38" s="2">
        <v>359333</v>
      </c>
      <c r="C38">
        <f t="shared" si="0"/>
        <v>-183161</v>
      </c>
      <c r="H38" s="4"/>
    </row>
    <row r="39" spans="1:8" x14ac:dyDescent="0.25">
      <c r="A39" s="1">
        <v>41306</v>
      </c>
      <c r="B39" s="2">
        <v>321469</v>
      </c>
      <c r="C39">
        <f t="shared" si="0"/>
        <v>-37864</v>
      </c>
    </row>
    <row r="40" spans="1:8" x14ac:dyDescent="0.25">
      <c r="A40" s="1">
        <v>41334</v>
      </c>
      <c r="B40" s="2">
        <v>67780</v>
      </c>
      <c r="C40">
        <f t="shared" si="0"/>
        <v>-253689</v>
      </c>
      <c r="H40" s="4"/>
    </row>
    <row r="41" spans="1:8" x14ac:dyDescent="0.25">
      <c r="A41" s="1">
        <v>41365</v>
      </c>
      <c r="B41" s="2">
        <v>471435</v>
      </c>
      <c r="C41">
        <f t="shared" si="0"/>
        <v>403655</v>
      </c>
    </row>
    <row r="42" spans="1:8" x14ac:dyDescent="0.25">
      <c r="A42" s="1">
        <v>41395</v>
      </c>
      <c r="B42" s="2">
        <v>565603</v>
      </c>
      <c r="C42">
        <f t="shared" si="0"/>
        <v>94168</v>
      </c>
      <c r="H42" s="4"/>
    </row>
    <row r="43" spans="1:8" x14ac:dyDescent="0.25">
      <c r="A43" s="1">
        <v>41426</v>
      </c>
      <c r="B43" s="2">
        <v>872480</v>
      </c>
      <c r="C43">
        <f t="shared" si="0"/>
        <v>306877</v>
      </c>
    </row>
    <row r="44" spans="1:8" x14ac:dyDescent="0.25">
      <c r="A44" s="1">
        <v>41456</v>
      </c>
      <c r="B44" s="2">
        <v>789480</v>
      </c>
      <c r="C44">
        <f t="shared" si="0"/>
        <v>-83000</v>
      </c>
      <c r="H44" s="3"/>
    </row>
    <row r="45" spans="1:8" x14ac:dyDescent="0.25">
      <c r="A45" s="1">
        <v>41487</v>
      </c>
      <c r="B45" s="2">
        <v>999942</v>
      </c>
      <c r="C45">
        <f t="shared" si="0"/>
        <v>210462</v>
      </c>
    </row>
    <row r="46" spans="1:8" x14ac:dyDescent="0.25">
      <c r="A46" s="1">
        <v>41518</v>
      </c>
      <c r="B46" s="2">
        <v>-1196225</v>
      </c>
      <c r="C46">
        <f t="shared" si="0"/>
        <v>-2196167</v>
      </c>
      <c r="H46" s="4"/>
    </row>
    <row r="47" spans="1:8" x14ac:dyDescent="0.25">
      <c r="A47" s="1">
        <v>41548</v>
      </c>
      <c r="B47" s="2">
        <v>268997</v>
      </c>
      <c r="C47">
        <f t="shared" si="0"/>
        <v>1465222</v>
      </c>
    </row>
    <row r="48" spans="1:8" x14ac:dyDescent="0.25">
      <c r="A48" s="1">
        <v>41579</v>
      </c>
      <c r="B48" s="2">
        <v>-687986</v>
      </c>
      <c r="C48">
        <f t="shared" si="0"/>
        <v>-956983</v>
      </c>
      <c r="H48" s="4"/>
    </row>
    <row r="49" spans="1:8" x14ac:dyDescent="0.25">
      <c r="A49" s="1">
        <v>41609</v>
      </c>
      <c r="B49" s="2">
        <v>1150461</v>
      </c>
      <c r="C49">
        <f t="shared" si="0"/>
        <v>1838447</v>
      </c>
    </row>
    <row r="50" spans="1:8" x14ac:dyDescent="0.25">
      <c r="A50" s="1">
        <v>41640</v>
      </c>
      <c r="B50" s="2">
        <v>682458</v>
      </c>
      <c r="C50">
        <f t="shared" si="0"/>
        <v>-468003</v>
      </c>
      <c r="H50" s="4"/>
    </row>
    <row r="51" spans="1:8" x14ac:dyDescent="0.25">
      <c r="A51" s="1">
        <v>41671</v>
      </c>
      <c r="B51" s="2">
        <v>617856</v>
      </c>
      <c r="C51">
        <f t="shared" si="0"/>
        <v>-64602</v>
      </c>
    </row>
    <row r="52" spans="1:8" x14ac:dyDescent="0.25">
      <c r="A52" s="1">
        <v>41699</v>
      </c>
      <c r="B52" s="2">
        <v>824098</v>
      </c>
      <c r="C52">
        <f t="shared" si="0"/>
        <v>206242</v>
      </c>
      <c r="H52" s="3"/>
    </row>
    <row r="53" spans="1:8" x14ac:dyDescent="0.25">
      <c r="A53" s="1">
        <v>41730</v>
      </c>
      <c r="B53" s="2">
        <v>581943</v>
      </c>
      <c r="C53">
        <f t="shared" si="0"/>
        <v>-242155</v>
      </c>
    </row>
    <row r="54" spans="1:8" x14ac:dyDescent="0.25">
      <c r="A54" s="1">
        <v>41760</v>
      </c>
      <c r="B54" s="2">
        <v>132864</v>
      </c>
      <c r="C54">
        <f t="shared" si="0"/>
        <v>-449079</v>
      </c>
      <c r="H54" s="4"/>
    </row>
    <row r="55" spans="1:8" x14ac:dyDescent="0.25">
      <c r="A55" s="1">
        <v>41791</v>
      </c>
      <c r="B55" s="2">
        <v>448062</v>
      </c>
      <c r="C55">
        <f t="shared" si="0"/>
        <v>315198</v>
      </c>
    </row>
    <row r="56" spans="1:8" x14ac:dyDescent="0.25">
      <c r="A56" s="1">
        <v>41821</v>
      </c>
      <c r="B56" s="2">
        <v>689161</v>
      </c>
      <c r="C56">
        <f t="shared" si="0"/>
        <v>241099</v>
      </c>
      <c r="H56" s="4"/>
    </row>
    <row r="57" spans="1:8" x14ac:dyDescent="0.25">
      <c r="A57" s="1">
        <v>41852</v>
      </c>
      <c r="B57" s="2">
        <v>800701</v>
      </c>
      <c r="C57">
        <f t="shared" si="0"/>
        <v>111540</v>
      </c>
    </row>
    <row r="58" spans="1:8" x14ac:dyDescent="0.25">
      <c r="A58" s="1">
        <v>41883</v>
      </c>
      <c r="B58" s="2">
        <v>1166643</v>
      </c>
      <c r="C58">
        <f t="shared" si="0"/>
        <v>365942</v>
      </c>
      <c r="H58" s="4"/>
    </row>
    <row r="59" spans="1:8" x14ac:dyDescent="0.25">
      <c r="A59" s="1">
        <v>41913</v>
      </c>
      <c r="B59" s="2">
        <v>947333</v>
      </c>
      <c r="C59">
        <f t="shared" si="0"/>
        <v>-219310</v>
      </c>
    </row>
    <row r="60" spans="1:8" x14ac:dyDescent="0.25">
      <c r="A60" s="1">
        <v>41944</v>
      </c>
      <c r="B60" s="2">
        <v>578668</v>
      </c>
      <c r="C60">
        <f t="shared" si="0"/>
        <v>-368665</v>
      </c>
      <c r="H60" s="3"/>
    </row>
    <row r="61" spans="1:8" x14ac:dyDescent="0.25">
      <c r="A61" s="1">
        <v>41974</v>
      </c>
      <c r="B61" s="2">
        <v>988505</v>
      </c>
      <c r="C61">
        <f t="shared" si="0"/>
        <v>409837</v>
      </c>
    </row>
    <row r="62" spans="1:8" x14ac:dyDescent="0.25">
      <c r="A62" s="1">
        <v>42005</v>
      </c>
      <c r="B62" s="2">
        <v>1139715</v>
      </c>
      <c r="C62">
        <f t="shared" si="0"/>
        <v>151210</v>
      </c>
      <c r="H62" s="4"/>
    </row>
    <row r="63" spans="1:8" x14ac:dyDescent="0.25">
      <c r="A63" s="1">
        <v>42036</v>
      </c>
      <c r="B63" s="2">
        <v>1029471</v>
      </c>
      <c r="C63">
        <f t="shared" si="0"/>
        <v>-110244</v>
      </c>
    </row>
    <row r="64" spans="1:8" x14ac:dyDescent="0.25">
      <c r="A64" s="1">
        <v>42064</v>
      </c>
      <c r="B64" s="2">
        <v>687533</v>
      </c>
      <c r="C64">
        <f t="shared" si="0"/>
        <v>-341938</v>
      </c>
      <c r="H64" s="4"/>
    </row>
    <row r="65" spans="1:8" x14ac:dyDescent="0.25">
      <c r="A65" s="1">
        <v>42095</v>
      </c>
      <c r="B65" s="2">
        <v>-524626</v>
      </c>
      <c r="C65">
        <f t="shared" si="0"/>
        <v>-1212159</v>
      </c>
    </row>
    <row r="66" spans="1:8" x14ac:dyDescent="0.25">
      <c r="A66" s="1">
        <v>42125</v>
      </c>
      <c r="B66" s="2">
        <v>158620</v>
      </c>
      <c r="C66">
        <f t="shared" si="0"/>
        <v>683246</v>
      </c>
      <c r="H66" s="4"/>
    </row>
    <row r="67" spans="1:8" x14ac:dyDescent="0.25">
      <c r="A67" s="1">
        <v>42156</v>
      </c>
      <c r="B67" s="2">
        <v>87795</v>
      </c>
      <c r="C67">
        <f t="shared" si="0"/>
        <v>-70825</v>
      </c>
    </row>
    <row r="68" spans="1:8" x14ac:dyDescent="0.25">
      <c r="A68" s="1">
        <v>42186</v>
      </c>
      <c r="B68" s="2">
        <v>423389</v>
      </c>
      <c r="C68">
        <f t="shared" ref="C68:C87" si="1">B68-B67</f>
        <v>335594</v>
      </c>
      <c r="H68" s="4"/>
    </row>
    <row r="69" spans="1:8" x14ac:dyDescent="0.25">
      <c r="A69" s="1">
        <v>42217</v>
      </c>
      <c r="B69" s="2">
        <v>840723</v>
      </c>
      <c r="C69">
        <f t="shared" si="1"/>
        <v>417334</v>
      </c>
    </row>
    <row r="70" spans="1:8" x14ac:dyDescent="0.25">
      <c r="A70" s="1">
        <v>42248</v>
      </c>
      <c r="B70" s="2">
        <v>568529</v>
      </c>
      <c r="C70">
        <f t="shared" si="1"/>
        <v>-272194</v>
      </c>
    </row>
    <row r="71" spans="1:8" x14ac:dyDescent="0.25">
      <c r="A71" s="1">
        <v>42278</v>
      </c>
      <c r="B71" s="2">
        <v>332067</v>
      </c>
      <c r="C71">
        <f t="shared" si="1"/>
        <v>-236462</v>
      </c>
    </row>
    <row r="72" spans="1:8" x14ac:dyDescent="0.25">
      <c r="A72" s="1">
        <v>42309</v>
      </c>
      <c r="B72" s="2">
        <v>989499</v>
      </c>
      <c r="C72">
        <f t="shared" si="1"/>
        <v>657432</v>
      </c>
    </row>
    <row r="73" spans="1:8" x14ac:dyDescent="0.25">
      <c r="A73" s="1">
        <v>42339</v>
      </c>
      <c r="B73" s="2">
        <v>778237</v>
      </c>
      <c r="C73">
        <f t="shared" si="1"/>
        <v>-211262</v>
      </c>
    </row>
    <row r="74" spans="1:8" x14ac:dyDescent="0.25">
      <c r="A74" s="1">
        <v>42370</v>
      </c>
      <c r="B74" s="2">
        <v>650000</v>
      </c>
      <c r="C74">
        <f t="shared" si="1"/>
        <v>-128237</v>
      </c>
    </row>
    <row r="75" spans="1:8" x14ac:dyDescent="0.25">
      <c r="A75" s="1">
        <v>42401</v>
      </c>
      <c r="B75" s="2">
        <v>-1100387</v>
      </c>
      <c r="C75">
        <f t="shared" si="1"/>
        <v>-1750387</v>
      </c>
    </row>
    <row r="76" spans="1:8" x14ac:dyDescent="0.25">
      <c r="A76" s="1">
        <v>42430</v>
      </c>
      <c r="B76" s="2">
        <v>-174946</v>
      </c>
      <c r="C76">
        <f t="shared" si="1"/>
        <v>925441</v>
      </c>
    </row>
    <row r="77" spans="1:8" x14ac:dyDescent="0.25">
      <c r="A77" s="1">
        <v>42461</v>
      </c>
      <c r="B77" s="2">
        <v>757143</v>
      </c>
      <c r="C77">
        <f t="shared" si="1"/>
        <v>932089</v>
      </c>
    </row>
    <row r="78" spans="1:8" x14ac:dyDescent="0.25">
      <c r="A78" s="1">
        <v>42491</v>
      </c>
      <c r="B78" s="2">
        <v>445709</v>
      </c>
      <c r="C78">
        <f t="shared" si="1"/>
        <v>-311434</v>
      </c>
    </row>
    <row r="79" spans="1:8" x14ac:dyDescent="0.25">
      <c r="A79" s="1">
        <v>42522</v>
      </c>
      <c r="B79" s="2">
        <v>712961</v>
      </c>
      <c r="C79">
        <f t="shared" si="1"/>
        <v>267252</v>
      </c>
    </row>
    <row r="80" spans="1:8" x14ac:dyDescent="0.25">
      <c r="A80" s="1">
        <v>42552</v>
      </c>
      <c r="B80" s="2">
        <v>-1163797</v>
      </c>
      <c r="C80">
        <f t="shared" si="1"/>
        <v>-1876758</v>
      </c>
    </row>
    <row r="81" spans="1:3" x14ac:dyDescent="0.25">
      <c r="A81" s="1">
        <v>42583</v>
      </c>
      <c r="B81" s="2">
        <v>569899</v>
      </c>
      <c r="C81">
        <f t="shared" si="1"/>
        <v>1733696</v>
      </c>
    </row>
    <row r="82" spans="1:3" x14ac:dyDescent="0.25">
      <c r="A82" s="1">
        <v>42614</v>
      </c>
      <c r="B82" s="2">
        <v>768450</v>
      </c>
      <c r="C82">
        <f t="shared" si="1"/>
        <v>198551</v>
      </c>
    </row>
    <row r="83" spans="1:3" x14ac:dyDescent="0.25">
      <c r="A83" s="1">
        <v>42644</v>
      </c>
      <c r="B83" s="2">
        <v>102685</v>
      </c>
      <c r="C83">
        <f t="shared" si="1"/>
        <v>-665765</v>
      </c>
    </row>
    <row r="84" spans="1:3" x14ac:dyDescent="0.25">
      <c r="A84" s="1">
        <v>42675</v>
      </c>
      <c r="B84" s="2">
        <v>795914</v>
      </c>
      <c r="C84">
        <f t="shared" si="1"/>
        <v>693229</v>
      </c>
    </row>
    <row r="85" spans="1:3" x14ac:dyDescent="0.25">
      <c r="A85" s="1">
        <v>42705</v>
      </c>
      <c r="B85" s="2">
        <v>60988</v>
      </c>
      <c r="C85">
        <f t="shared" si="1"/>
        <v>-734926</v>
      </c>
    </row>
    <row r="86" spans="1:3" x14ac:dyDescent="0.25">
      <c r="A86" s="1">
        <v>42736</v>
      </c>
      <c r="B86" s="2">
        <v>138230</v>
      </c>
      <c r="C86">
        <f t="shared" si="1"/>
        <v>77242</v>
      </c>
    </row>
    <row r="87" spans="1:3" x14ac:dyDescent="0.25">
      <c r="A87" s="1">
        <v>42767</v>
      </c>
      <c r="B87" s="2">
        <v>671099</v>
      </c>
      <c r="C87">
        <f t="shared" si="1"/>
        <v>532869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2021-07-04T13:54:03Z</dcterms:created>
  <dcterms:modified xsi:type="dcterms:W3CDTF">2021-07-05T17:32:55Z</dcterms:modified>
</cp:coreProperties>
</file>